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ps to Record" sheetId="1" state="visible" r:id="rId3"/>
    <sheet name="Answer Key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3" authorId="0">
      <text>
        <r>
          <rPr>
            <sz val="10"/>
            <rFont val="Arial"/>
            <family val="2"/>
          </rPr>
          <t xml:space="preserve">Value left blank on purpose: agree with P3 whether 'included' means 0 or UNCLEAR.</t>
        </r>
      </text>
    </comment>
  </commentList>
</comments>
</file>

<file path=xl/sharedStrings.xml><?xml version="1.0" encoding="utf-8"?>
<sst xmlns="http://schemas.openxmlformats.org/spreadsheetml/2006/main" count="246" uniqueCount="109">
  <si>
    <t xml:space="preserve">clip_id</t>
  </si>
  <si>
    <t xml:space="preserve">language</t>
  </si>
  <si>
    <t xml:space="preserve">what_to_say</t>
  </si>
  <si>
    <t xml:space="preserve">romanised (Tamil only)</t>
  </si>
  <si>
    <t xml:space="preserve">noise_needed</t>
  </si>
  <si>
    <t xml:space="preserve">proofread</t>
  </si>
  <si>
    <t xml:space="preserve">claims_in_clip</t>
  </si>
  <si>
    <t xml:space="preserve">English</t>
  </si>
  <si>
    <t xml:space="preserve">The monthly rent is twenty thousand rupees.</t>
  </si>
  <si>
    <t xml:space="preserve">No</t>
  </si>
  <si>
    <t xml:space="preserve">n/a</t>
  </si>
  <si>
    <t xml:space="preserve">The security deposit is two months' rent.</t>
  </si>
  <si>
    <t xml:space="preserve">Hinglish</t>
  </si>
  <si>
    <t xml:space="preserve">Do mahine ka deposit hai aur notice period ek mahina hai.</t>
  </si>
  <si>
    <t xml:space="preserve">There's no lock-in period.</t>
  </si>
  <si>
    <t xml:space="preserve">Maintenance is around fifteen hundred a month, maybe.</t>
  </si>
  <si>
    <t xml:space="preserve">Rent is eighteen thousand, deposit is forty thousand rupees, and they said the deposit comes back within thirty days.</t>
  </si>
  <si>
    <t xml:space="preserve">Lock-in chhe mahine ka hai, uske baad koi problem nahi.</t>
  </si>
  <si>
    <t xml:space="preserve">Yes</t>
  </si>
  <si>
    <t xml:space="preserve">Notice period is fifteen days.</t>
  </si>
  <si>
    <t xml:space="preserve">Maintenance rent mein hi included hai.</t>
  </si>
  <si>
    <t xml:space="preserve">Rent twenty-two thousand, deposit three months, lock-in eleven months, notice two months. (Say it fast, with a fan or street noise on.)</t>
  </si>
  <si>
    <t xml:space="preserve">T1</t>
  </si>
  <si>
    <t xml:space="preserve">Tamil</t>
  </si>
  <si>
    <t xml:space="preserve">மாத வாடகை இருபதாயிரம் ரூபாய்.</t>
  </si>
  <si>
    <t xml:space="preserve">Maadha vaadagai irubadhaayiram roobaai.</t>
  </si>
  <si>
    <t xml:space="preserve">Needs native proofreading</t>
  </si>
  <si>
    <t xml:space="preserve">T2</t>
  </si>
  <si>
    <t xml:space="preserve">செக்யூரிட்டி டெபாசிட் இரண்டு மாத வாடகை.</t>
  </si>
  <si>
    <t xml:space="preserve">Security deposit irandu maadha vaadagai.</t>
  </si>
  <si>
    <t xml:space="preserve">T4</t>
  </si>
  <si>
    <t xml:space="preserve">லாக்-இன் பீரியட் எதுவும் இல்லை.</t>
  </si>
  <si>
    <t xml:space="preserve">Lock-in period edhuvum illai.</t>
  </si>
  <si>
    <t xml:space="preserve">T5</t>
  </si>
  <si>
    <t xml:space="preserve">மெயின்டனன்ஸ் மாதம் சுமார் ஆயிரத்து ஐநூறு ரூபாய், இருக்கலாம்.</t>
  </si>
  <si>
    <t xml:space="preserve">Maintenance maadham sumaar aayirathu ainooru roobaai, irukkalaam.</t>
  </si>
  <si>
    <t xml:space="preserve">T6</t>
  </si>
  <si>
    <t xml:space="preserve">வாடகை பதினெட்டாயிரம், டெபாசிட் நாற்பதாயிரம் ரூபாய், டெபாசிட் முப்பது நாட்களுக்குள் திரும்பக் கிடைக்கும்னு சொன்னாங்க.</t>
  </si>
  <si>
    <t xml:space="preserve">Vaadagai padinettaayiram, deposit naarpadhaayiram roobaai, deposit muppadhu naatkalukkul thirumba kidaikkumnu sonnaanga.</t>
  </si>
  <si>
    <t xml:space="preserve">T8</t>
  </si>
  <si>
    <t xml:space="preserve">நோட்டீஸ் பீரியட் பதினைந்து நாட்கள்.</t>
  </si>
  <si>
    <t xml:space="preserve">Notice period padhinaindhu naatkal.</t>
  </si>
  <si>
    <t xml:space="preserve">Notes</t>
  </si>
  <si>
    <t xml:space="preserve">Clips 1-10 are the English and Hinglish set. T1, T2, T4, T5, T6, T8 are the Tamil versions of clips 1, 2, 4, 5, 6, 8 (same answers).</t>
  </si>
  <si>
    <t xml:space="preserve">The Tamil lines are my drafts and keep common English loanwords (deposit, notice period, lock-in, maintenance) as people really say them. Get a native speaker to proofread before recording.</t>
  </si>
  <si>
    <t xml:space="preserve">Say each line in your own natural wording. Record each clip 2-3 times with different speakers if you can. Keep every clip at 30 seconds or less.</t>
  </si>
  <si>
    <t xml:space="preserve">Add a few of your own (e.g. a hedge like 'I think the rent is around twenty thousand', or a clip mentioning only one term).</t>
  </si>
  <si>
    <t xml:space="preserve">term</t>
  </si>
  <si>
    <t xml:space="preserve">value</t>
  </si>
  <si>
    <t xml:space="preserve">unit</t>
  </si>
  <si>
    <t xml:space="preserve">hedged</t>
  </si>
  <si>
    <t xml:space="preserve">notes</t>
  </si>
  <si>
    <t xml:space="preserve">file_name</t>
  </si>
  <si>
    <t xml:space="preserve">speaker</t>
  </si>
  <si>
    <t xml:space="preserve">noisy (Y/N)</t>
  </si>
  <si>
    <t xml:space="preserve">term_ok (Y/N)</t>
  </si>
  <si>
    <t xml:space="preserve">value_ok (Y/N)</t>
  </si>
  <si>
    <t xml:space="preserve">all_correct</t>
  </si>
  <si>
    <t xml:space="preserve">monthly_rent</t>
  </si>
  <si>
    <t xml:space="preserve">inr</t>
  </si>
  <si>
    <t xml:space="preserve">N</t>
  </si>
  <si>
    <t xml:space="preserve">security_deposit</t>
  </si>
  <si>
    <t xml:space="preserve">months_of_rent</t>
  </si>
  <si>
    <t xml:space="preserve">Hinglish: 'do mahine ka deposit'</t>
  </si>
  <si>
    <t xml:space="preserve">notice_period</t>
  </si>
  <si>
    <t xml:space="preserve">months</t>
  </si>
  <si>
    <t xml:space="preserve">1 month = 30 days by fixed rule</t>
  </si>
  <si>
    <t xml:space="preserve">lock_in_period</t>
  </si>
  <si>
    <t xml:space="preserve">'No lock-in' = 0</t>
  </si>
  <si>
    <t xml:space="preserve">maintenance_charges</t>
  </si>
  <si>
    <t xml:space="preserve">Hedged: 'around ... maybe'</t>
  </si>
  <si>
    <t xml:space="preserve">3 claims in one clip</t>
  </si>
  <si>
    <t xml:space="preserve">deposit_refund_period</t>
  </si>
  <si>
    <t xml:space="preserve">days</t>
  </si>
  <si>
    <t xml:space="preserve">Hinglish: 'chhe mahine'</t>
  </si>
  <si>
    <t xml:space="preserve">Y</t>
  </si>
  <si>
    <t xml:space="preserve">none</t>
  </si>
  <si>
    <t xml:space="preserve">'Included in rent': decide with P3 whether this is 0 or UNCLEAR, then record it here</t>
  </si>
  <si>
    <t xml:space="preserve">4 claims, fast speech, noisy</t>
  </si>
  <si>
    <t xml:space="preserve">Tamil version of clip 1</t>
  </si>
  <si>
    <t xml:space="preserve">Tamil version of clip 2</t>
  </si>
  <si>
    <t xml:space="preserve">Tamil version of clip 4</t>
  </si>
  <si>
    <t xml:space="preserve">Tamil version of clip 5; hedged</t>
  </si>
  <si>
    <t xml:space="preserve">Tamil version of clip 6; 3 claims</t>
  </si>
  <si>
    <t xml:space="preserve">Tamil version of clip 8</t>
  </si>
  <si>
    <t xml:space="preserve">Value/unit follow the parser output format {term, value, unit, hedged, quote}. Units: inr | days | months | months_of_rent | none.</t>
  </si>
  <si>
    <t xml:space="preserve">Yellow cells with blue text are for you to fill in after recording and running each clip.</t>
  </si>
  <si>
    <t xml:space="preserve">Voice eval summary</t>
  </si>
  <si>
    <t xml:space="preserve">Metric</t>
  </si>
  <si>
    <t xml:space="preserve">Value</t>
  </si>
  <si>
    <t xml:space="preserve">Total claims in answer key</t>
  </si>
  <si>
    <t xml:space="preserve">Claims scored so far</t>
  </si>
  <si>
    <t xml:space="preserve">Claims fully correct</t>
  </si>
  <si>
    <t xml:space="preserve">Overall accuracy</t>
  </si>
  <si>
    <t xml:space="preserve">Term recognised correctly</t>
  </si>
  <si>
    <t xml:space="preserve">Value recognised correctly</t>
  </si>
  <si>
    <t xml:space="preserve">Accuracy on noisy clips</t>
  </si>
  <si>
    <t xml:space="preserve">Accuracy on clean clips</t>
  </si>
  <si>
    <t xml:space="preserve">By language</t>
  </si>
  <si>
    <t xml:space="preserve">Language</t>
  </si>
  <si>
    <t xml:space="preserve">Claims</t>
  </si>
  <si>
    <t xml:space="preserve">Scored</t>
  </si>
  <si>
    <t xml:space="preserve">Correct</t>
  </si>
  <si>
    <t xml:space="preserve">Accuracy</t>
  </si>
  <si>
    <t xml:space="preserve">How to use</t>
  </si>
  <si>
    <t xml:space="preserve">1. Record the clips on 'Clips to Record'; list the file name, speaker and noise in the yellow columns of 'Answer Key'.</t>
  </si>
  <si>
    <t xml:space="preserve">2. Run each clip through Saaras and the parser, then mark term_ok and value_ok as Y or N.</t>
  </si>
  <si>
    <t xml:space="preserve">3. Example of a filled row: file_name = clip01_priya.wav, speaker = Priya, noisy = N, term_ok = Y, value_ok = Y.</t>
  </si>
  <si>
    <t xml:space="preserve">4. This page updates automatically. With about 10 clips per language, call it a small test set and report the failures too.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</si>
</sst>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FFF"/>
      </patternFill>
    </fill>
    <fill>
      <patternFill patternType="solid">
        <fgColor rgb="FFFFFF99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62"/>
    <col collapsed="false" customWidth="true" hidden="false" outlineLevel="0" max="4" min="4" style="0" width="44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2" t="s">
        <v>7</v>
      </c>
      <c r="C2" s="2" t="s">
        <v>8</v>
      </c>
      <c r="D2" s="2"/>
      <c r="E2" s="2" t="s">
        <v>9</v>
      </c>
      <c r="F2" s="2" t="s">
        <v>10</v>
      </c>
      <c r="G2" s="2" t="n">
        <f aca="false">COUNTIF('Answer Key'!$A$2:$A$25,A2)</f>
        <v>1</v>
      </c>
    </row>
    <row r="3" customFormat="false" ht="15" hidden="false" customHeight="false" outlineLevel="0" collapsed="false">
      <c r="A3" s="2" t="n">
        <v>2</v>
      </c>
      <c r="B3" s="2" t="s">
        <v>7</v>
      </c>
      <c r="C3" s="2" t="s">
        <v>11</v>
      </c>
      <c r="D3" s="2"/>
      <c r="E3" s="2" t="s">
        <v>9</v>
      </c>
      <c r="F3" s="2" t="s">
        <v>10</v>
      </c>
      <c r="G3" s="2" t="n">
        <f aca="false">COUNTIF('Answer Key'!$A$2:$A$25,A3)</f>
        <v>1</v>
      </c>
    </row>
    <row r="4" customFormat="false" ht="15" hidden="false" customHeight="false" outlineLevel="0" collapsed="false">
      <c r="A4" s="2" t="n">
        <v>3</v>
      </c>
      <c r="B4" s="2" t="s">
        <v>12</v>
      </c>
      <c r="C4" s="2" t="s">
        <v>13</v>
      </c>
      <c r="D4" s="2"/>
      <c r="E4" s="2" t="s">
        <v>9</v>
      </c>
      <c r="F4" s="2" t="s">
        <v>10</v>
      </c>
      <c r="G4" s="2" t="n">
        <f aca="false">COUNTIF('Answer Key'!$A$2:$A$25,A4)</f>
        <v>2</v>
      </c>
    </row>
    <row r="5" customFormat="false" ht="15" hidden="false" customHeight="false" outlineLevel="0" collapsed="false">
      <c r="A5" s="2" t="n">
        <v>4</v>
      </c>
      <c r="B5" s="2" t="s">
        <v>7</v>
      </c>
      <c r="C5" s="2" t="s">
        <v>14</v>
      </c>
      <c r="D5" s="2"/>
      <c r="E5" s="2" t="s">
        <v>9</v>
      </c>
      <c r="F5" s="2" t="s">
        <v>10</v>
      </c>
      <c r="G5" s="2" t="n">
        <f aca="false">COUNTIF('Answer Key'!$A$2:$A$25,A5)</f>
        <v>1</v>
      </c>
    </row>
    <row r="6" customFormat="false" ht="15" hidden="false" customHeight="false" outlineLevel="0" collapsed="false">
      <c r="A6" s="2" t="n">
        <v>5</v>
      </c>
      <c r="B6" s="2" t="s">
        <v>7</v>
      </c>
      <c r="C6" s="2" t="s">
        <v>15</v>
      </c>
      <c r="D6" s="2"/>
      <c r="E6" s="2" t="s">
        <v>9</v>
      </c>
      <c r="F6" s="2" t="s">
        <v>10</v>
      </c>
      <c r="G6" s="2" t="n">
        <f aca="false">COUNTIF('Answer Key'!$A$2:$A$25,A6)</f>
        <v>1</v>
      </c>
    </row>
    <row r="7" customFormat="false" ht="23.85" hidden="false" customHeight="false" outlineLevel="0" collapsed="false">
      <c r="A7" s="2" t="n">
        <v>6</v>
      </c>
      <c r="B7" s="2" t="s">
        <v>7</v>
      </c>
      <c r="C7" s="2" t="s">
        <v>16</v>
      </c>
      <c r="D7" s="2"/>
      <c r="E7" s="2" t="s">
        <v>9</v>
      </c>
      <c r="F7" s="2" t="s">
        <v>10</v>
      </c>
      <c r="G7" s="2" t="n">
        <f aca="false">COUNTIF('Answer Key'!$A$2:$A$25,A7)</f>
        <v>3</v>
      </c>
    </row>
    <row r="8" customFormat="false" ht="15" hidden="false" customHeight="false" outlineLevel="0" collapsed="false">
      <c r="A8" s="2" t="n">
        <v>7</v>
      </c>
      <c r="B8" s="2" t="s">
        <v>12</v>
      </c>
      <c r="C8" s="2" t="s">
        <v>17</v>
      </c>
      <c r="D8" s="2"/>
      <c r="E8" s="2" t="s">
        <v>18</v>
      </c>
      <c r="F8" s="2" t="s">
        <v>10</v>
      </c>
      <c r="G8" s="2" t="n">
        <f aca="false">COUNTIF('Answer Key'!$A$2:$A$25,A8)</f>
        <v>1</v>
      </c>
    </row>
    <row r="9" customFormat="false" ht="15" hidden="false" customHeight="false" outlineLevel="0" collapsed="false">
      <c r="A9" s="2" t="n">
        <v>8</v>
      </c>
      <c r="B9" s="2" t="s">
        <v>7</v>
      </c>
      <c r="C9" s="2" t="s">
        <v>19</v>
      </c>
      <c r="D9" s="2"/>
      <c r="E9" s="2" t="s">
        <v>18</v>
      </c>
      <c r="F9" s="2" t="s">
        <v>10</v>
      </c>
      <c r="G9" s="2" t="n">
        <f aca="false">COUNTIF('Answer Key'!$A$2:$A$25,A9)</f>
        <v>1</v>
      </c>
    </row>
    <row r="10" customFormat="false" ht="15" hidden="false" customHeight="false" outlineLevel="0" collapsed="false">
      <c r="A10" s="2" t="n">
        <v>9</v>
      </c>
      <c r="B10" s="2" t="s">
        <v>12</v>
      </c>
      <c r="C10" s="2" t="s">
        <v>20</v>
      </c>
      <c r="D10" s="2"/>
      <c r="E10" s="2" t="s">
        <v>18</v>
      </c>
      <c r="F10" s="2" t="s">
        <v>10</v>
      </c>
      <c r="G10" s="2" t="n">
        <f aca="false">COUNTIF('Answer Key'!$A$2:$A$25,A10)</f>
        <v>1</v>
      </c>
    </row>
    <row r="11" customFormat="false" ht="23.85" hidden="false" customHeight="false" outlineLevel="0" collapsed="false">
      <c r="A11" s="2" t="n">
        <v>10</v>
      </c>
      <c r="B11" s="2" t="s">
        <v>7</v>
      </c>
      <c r="C11" s="2" t="s">
        <v>21</v>
      </c>
      <c r="D11" s="2"/>
      <c r="E11" s="2" t="s">
        <v>18</v>
      </c>
      <c r="F11" s="2" t="s">
        <v>10</v>
      </c>
      <c r="G11" s="2" t="n">
        <f aca="false">COUNTIF('Answer Key'!$A$2:$A$25,A11)</f>
        <v>4</v>
      </c>
    </row>
    <row r="12" customFormat="false" ht="15" hidden="false" customHeight="false" outlineLevel="0" collapsed="false">
      <c r="A12" s="2" t="s">
        <v>22</v>
      </c>
      <c r="B12" s="2" t="s">
        <v>23</v>
      </c>
      <c r="C12" s="2" t="s">
        <v>24</v>
      </c>
      <c r="D12" s="2" t="s">
        <v>25</v>
      </c>
      <c r="E12" s="2" t="s">
        <v>9</v>
      </c>
      <c r="F12" s="3" t="s">
        <v>26</v>
      </c>
      <c r="G12" s="2" t="n">
        <f aca="false">COUNTIF('Answer Key'!$A$2:$A$25,A12)</f>
        <v>1</v>
      </c>
    </row>
    <row r="13" customFormat="false" ht="15" hidden="false" customHeight="false" outlineLevel="0" collapsed="false">
      <c r="A13" s="2" t="s">
        <v>27</v>
      </c>
      <c r="B13" s="2" t="s">
        <v>23</v>
      </c>
      <c r="C13" s="2" t="s">
        <v>28</v>
      </c>
      <c r="D13" s="2" t="s">
        <v>29</v>
      </c>
      <c r="E13" s="2" t="s">
        <v>9</v>
      </c>
      <c r="F13" s="3" t="s">
        <v>26</v>
      </c>
      <c r="G13" s="2" t="n">
        <f aca="false">COUNTIF('Answer Key'!$A$2:$A$25,A13)</f>
        <v>1</v>
      </c>
    </row>
    <row r="14" customFormat="false" ht="15" hidden="false" customHeight="false" outlineLevel="0" collapsed="false">
      <c r="A14" s="2" t="s">
        <v>30</v>
      </c>
      <c r="B14" s="2" t="s">
        <v>23</v>
      </c>
      <c r="C14" s="2" t="s">
        <v>31</v>
      </c>
      <c r="D14" s="2" t="s">
        <v>32</v>
      </c>
      <c r="E14" s="2" t="s">
        <v>9</v>
      </c>
      <c r="F14" s="3" t="s">
        <v>26</v>
      </c>
      <c r="G14" s="2" t="n">
        <f aca="false">COUNTIF('Answer Key'!$A$2:$A$25,A14)</f>
        <v>1</v>
      </c>
    </row>
    <row r="15" customFormat="false" ht="23.85" hidden="false" customHeight="false" outlineLevel="0" collapsed="false">
      <c r="A15" s="2" t="s">
        <v>33</v>
      </c>
      <c r="B15" s="2" t="s">
        <v>23</v>
      </c>
      <c r="C15" s="2" t="s">
        <v>34</v>
      </c>
      <c r="D15" s="2" t="s">
        <v>35</v>
      </c>
      <c r="E15" s="2" t="s">
        <v>9</v>
      </c>
      <c r="F15" s="3" t="s">
        <v>26</v>
      </c>
      <c r="G15" s="2" t="n">
        <f aca="false">COUNTIF('Answer Key'!$A$2:$A$25,A15)</f>
        <v>1</v>
      </c>
    </row>
    <row r="16" customFormat="false" ht="35.05" hidden="false" customHeight="false" outlineLevel="0" collapsed="false">
      <c r="A16" s="2" t="s">
        <v>36</v>
      </c>
      <c r="B16" s="2" t="s">
        <v>23</v>
      </c>
      <c r="C16" s="2" t="s">
        <v>37</v>
      </c>
      <c r="D16" s="2" t="s">
        <v>38</v>
      </c>
      <c r="E16" s="2" t="s">
        <v>9</v>
      </c>
      <c r="F16" s="3" t="s">
        <v>26</v>
      </c>
      <c r="G16" s="2" t="n">
        <f aca="false">COUNTIF('Answer Key'!$A$2:$A$25,A16)</f>
        <v>3</v>
      </c>
    </row>
    <row r="17" customFormat="false" ht="15" hidden="false" customHeight="false" outlineLevel="0" collapsed="false">
      <c r="A17" s="2" t="s">
        <v>39</v>
      </c>
      <c r="B17" s="2" t="s">
        <v>23</v>
      </c>
      <c r="C17" s="2" t="s">
        <v>40</v>
      </c>
      <c r="D17" s="2" t="s">
        <v>41</v>
      </c>
      <c r="E17" s="2" t="s">
        <v>18</v>
      </c>
      <c r="F17" s="3" t="s">
        <v>26</v>
      </c>
      <c r="G17" s="2" t="n">
        <f aca="false">COUNTIF('Answer Key'!$A$2:$A$25,A17)</f>
        <v>1</v>
      </c>
    </row>
    <row r="19" customFormat="false" ht="15" hidden="false" customHeight="false" outlineLevel="0" collapsed="false">
      <c r="A19" s="4" t="s">
        <v>42</v>
      </c>
    </row>
    <row r="20" customFormat="false" ht="15" hidden="false" customHeight="false" outlineLevel="0" collapsed="false">
      <c r="A20" s="5" t="s">
        <v>43</v>
      </c>
    </row>
    <row r="21" customFormat="false" ht="15" hidden="false" customHeight="false" outlineLevel="0" collapsed="false">
      <c r="A21" s="5" t="s">
        <v>44</v>
      </c>
    </row>
    <row r="22" customFormat="false" ht="15" hidden="false" customHeight="false" outlineLevel="0" collapsed="false">
      <c r="A22" s="5" t="s">
        <v>45</v>
      </c>
    </row>
    <row r="23" customFormat="false" ht="15" hidden="false" customHeight="false" outlineLevel="0" collapsed="false">
      <c r="A23" s="5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48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2" min="11" style="0" width="13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</row>
    <row r="2" customFormat="false" ht="15" hidden="false" customHeight="false" outlineLevel="0" collapsed="false">
      <c r="A2" s="2" t="n">
        <v>1</v>
      </c>
      <c r="B2" s="2" t="s">
        <v>7</v>
      </c>
      <c r="C2" s="2" t="s">
        <v>58</v>
      </c>
      <c r="D2" s="2" t="n">
        <v>20000</v>
      </c>
      <c r="E2" s="2" t="s">
        <v>59</v>
      </c>
      <c r="F2" s="6" t="b">
        <f aca="false">FALSE()</f>
        <v>0</v>
      </c>
      <c r="G2" s="2"/>
      <c r="H2" s="7"/>
      <c r="I2" s="7"/>
      <c r="J2" s="7" t="s">
        <v>60</v>
      </c>
      <c r="K2" s="7"/>
      <c r="L2" s="7"/>
      <c r="M2" s="8" t="str">
        <f aca="false">IF(OR(K2="",L2=""),"",IF(AND(K2="Y",L2="Y"),"Y","N"))</f>
        <v/>
      </c>
    </row>
    <row r="3" customFormat="false" ht="15" hidden="false" customHeight="false" outlineLevel="0" collapsed="false">
      <c r="A3" s="2" t="n">
        <v>2</v>
      </c>
      <c r="B3" s="2" t="s">
        <v>7</v>
      </c>
      <c r="C3" s="2" t="s">
        <v>61</v>
      </c>
      <c r="D3" s="2" t="n">
        <v>2</v>
      </c>
      <c r="E3" s="2" t="s">
        <v>62</v>
      </c>
      <c r="F3" s="6" t="b">
        <f aca="false">FALSE()</f>
        <v>0</v>
      </c>
      <c r="G3" s="2"/>
      <c r="H3" s="7"/>
      <c r="I3" s="7"/>
      <c r="J3" s="7" t="s">
        <v>60</v>
      </c>
      <c r="K3" s="7"/>
      <c r="L3" s="7"/>
      <c r="M3" s="8" t="str">
        <f aca="false">IF(OR(K3="",L3=""),"",IF(AND(K3="Y",L3="Y"),"Y","N"))</f>
        <v/>
      </c>
    </row>
    <row r="4" customFormat="false" ht="15" hidden="false" customHeight="false" outlineLevel="0" collapsed="false">
      <c r="A4" s="2" t="n">
        <v>3</v>
      </c>
      <c r="B4" s="2" t="s">
        <v>12</v>
      </c>
      <c r="C4" s="2" t="s">
        <v>61</v>
      </c>
      <c r="D4" s="2" t="n">
        <v>2</v>
      </c>
      <c r="E4" s="2" t="s">
        <v>62</v>
      </c>
      <c r="F4" s="6" t="b">
        <f aca="false">FALSE()</f>
        <v>0</v>
      </c>
      <c r="G4" s="2" t="s">
        <v>63</v>
      </c>
      <c r="H4" s="7"/>
      <c r="I4" s="7"/>
      <c r="J4" s="7" t="s">
        <v>60</v>
      </c>
      <c r="K4" s="7"/>
      <c r="L4" s="7"/>
      <c r="M4" s="8" t="str">
        <f aca="false">IF(OR(K4="",L4=""),"",IF(AND(K4="Y",L4="Y"),"Y","N"))</f>
        <v/>
      </c>
    </row>
    <row r="5" customFormat="false" ht="15" hidden="false" customHeight="false" outlineLevel="0" collapsed="false">
      <c r="A5" s="2" t="n">
        <v>3</v>
      </c>
      <c r="B5" s="2" t="s">
        <v>12</v>
      </c>
      <c r="C5" s="2" t="s">
        <v>64</v>
      </c>
      <c r="D5" s="2" t="n">
        <v>1</v>
      </c>
      <c r="E5" s="2" t="s">
        <v>65</v>
      </c>
      <c r="F5" s="6" t="b">
        <f aca="false">FALSE()</f>
        <v>0</v>
      </c>
      <c r="G5" s="2" t="s">
        <v>66</v>
      </c>
      <c r="H5" s="7"/>
      <c r="I5" s="7"/>
      <c r="J5" s="7" t="s">
        <v>60</v>
      </c>
      <c r="K5" s="7"/>
      <c r="L5" s="7"/>
      <c r="M5" s="8" t="str">
        <f aca="false">IF(OR(K5="",L5=""),"",IF(AND(K5="Y",L5="Y"),"Y","N"))</f>
        <v/>
      </c>
    </row>
    <row r="6" customFormat="false" ht="15" hidden="false" customHeight="false" outlineLevel="0" collapsed="false">
      <c r="A6" s="2" t="n">
        <v>4</v>
      </c>
      <c r="B6" s="2" t="s">
        <v>7</v>
      </c>
      <c r="C6" s="2" t="s">
        <v>67</v>
      </c>
      <c r="D6" s="2" t="n">
        <v>0</v>
      </c>
      <c r="E6" s="2" t="s">
        <v>65</v>
      </c>
      <c r="F6" s="6" t="b">
        <f aca="false">FALSE()</f>
        <v>0</v>
      </c>
      <c r="G6" s="2" t="s">
        <v>68</v>
      </c>
      <c r="H6" s="7"/>
      <c r="I6" s="7"/>
      <c r="J6" s="7" t="s">
        <v>60</v>
      </c>
      <c r="K6" s="7"/>
      <c r="L6" s="7"/>
      <c r="M6" s="8" t="str">
        <f aca="false">IF(OR(K6="",L6=""),"",IF(AND(K6="Y",L6="Y"),"Y","N"))</f>
        <v/>
      </c>
    </row>
    <row r="7" customFormat="false" ht="15" hidden="false" customHeight="false" outlineLevel="0" collapsed="false">
      <c r="A7" s="2" t="n">
        <v>5</v>
      </c>
      <c r="B7" s="2" t="s">
        <v>7</v>
      </c>
      <c r="C7" s="2" t="s">
        <v>69</v>
      </c>
      <c r="D7" s="2" t="n">
        <v>1500</v>
      </c>
      <c r="E7" s="2" t="s">
        <v>59</v>
      </c>
      <c r="F7" s="6" t="b">
        <f aca="false">TRUE()</f>
        <v>1</v>
      </c>
      <c r="G7" s="2" t="s">
        <v>70</v>
      </c>
      <c r="H7" s="7"/>
      <c r="I7" s="7"/>
      <c r="J7" s="7" t="s">
        <v>60</v>
      </c>
      <c r="K7" s="7"/>
      <c r="L7" s="7"/>
      <c r="M7" s="8" t="str">
        <f aca="false">IF(OR(K7="",L7=""),"",IF(AND(K7="Y",L7="Y"),"Y","N"))</f>
        <v/>
      </c>
    </row>
    <row r="8" customFormat="false" ht="15" hidden="false" customHeight="false" outlineLevel="0" collapsed="false">
      <c r="A8" s="2" t="n">
        <v>6</v>
      </c>
      <c r="B8" s="2" t="s">
        <v>7</v>
      </c>
      <c r="C8" s="2" t="s">
        <v>58</v>
      </c>
      <c r="D8" s="2" t="n">
        <v>18000</v>
      </c>
      <c r="E8" s="2" t="s">
        <v>59</v>
      </c>
      <c r="F8" s="6" t="b">
        <f aca="false">FALSE()</f>
        <v>0</v>
      </c>
      <c r="G8" s="2" t="s">
        <v>71</v>
      </c>
      <c r="H8" s="7"/>
      <c r="I8" s="7"/>
      <c r="J8" s="7" t="s">
        <v>60</v>
      </c>
      <c r="K8" s="7"/>
      <c r="L8" s="7"/>
      <c r="M8" s="8" t="str">
        <f aca="false">IF(OR(K8="",L8=""),"",IF(AND(K8="Y",L8="Y"),"Y","N"))</f>
        <v/>
      </c>
    </row>
    <row r="9" customFormat="false" ht="15" hidden="false" customHeight="false" outlineLevel="0" collapsed="false">
      <c r="A9" s="2" t="n">
        <v>6</v>
      </c>
      <c r="B9" s="2" t="s">
        <v>7</v>
      </c>
      <c r="C9" s="2" t="s">
        <v>61</v>
      </c>
      <c r="D9" s="2" t="n">
        <v>40000</v>
      </c>
      <c r="E9" s="2" t="s">
        <v>59</v>
      </c>
      <c r="F9" s="6" t="b">
        <f aca="false">FALSE()</f>
        <v>0</v>
      </c>
      <c r="G9" s="2"/>
      <c r="H9" s="7"/>
      <c r="I9" s="7"/>
      <c r="J9" s="7" t="s">
        <v>60</v>
      </c>
      <c r="K9" s="7"/>
      <c r="L9" s="7"/>
      <c r="M9" s="8" t="str">
        <f aca="false">IF(OR(K9="",L9=""),"",IF(AND(K9="Y",L9="Y"),"Y","N"))</f>
        <v/>
      </c>
    </row>
    <row r="10" customFormat="false" ht="15" hidden="false" customHeight="false" outlineLevel="0" collapsed="false">
      <c r="A10" s="2" t="n">
        <v>6</v>
      </c>
      <c r="B10" s="2" t="s">
        <v>7</v>
      </c>
      <c r="C10" s="2" t="s">
        <v>72</v>
      </c>
      <c r="D10" s="2" t="n">
        <v>30</v>
      </c>
      <c r="E10" s="2" t="s">
        <v>73</v>
      </c>
      <c r="F10" s="6" t="b">
        <f aca="false">FALSE()</f>
        <v>0</v>
      </c>
      <c r="G10" s="2"/>
      <c r="H10" s="7"/>
      <c r="I10" s="7"/>
      <c r="J10" s="7" t="s">
        <v>60</v>
      </c>
      <c r="K10" s="7"/>
      <c r="L10" s="7"/>
      <c r="M10" s="8" t="str">
        <f aca="false">IF(OR(K10="",L10=""),"",IF(AND(K10="Y",L10="Y"),"Y","N"))</f>
        <v/>
      </c>
    </row>
    <row r="11" customFormat="false" ht="15" hidden="false" customHeight="false" outlineLevel="0" collapsed="false">
      <c r="A11" s="2" t="n">
        <v>7</v>
      </c>
      <c r="B11" s="2" t="s">
        <v>12</v>
      </c>
      <c r="C11" s="2" t="s">
        <v>67</v>
      </c>
      <c r="D11" s="2" t="n">
        <v>6</v>
      </c>
      <c r="E11" s="2" t="s">
        <v>65</v>
      </c>
      <c r="F11" s="6" t="b">
        <f aca="false">FALSE()</f>
        <v>0</v>
      </c>
      <c r="G11" s="2" t="s">
        <v>74</v>
      </c>
      <c r="H11" s="7"/>
      <c r="I11" s="7"/>
      <c r="J11" s="7" t="s">
        <v>75</v>
      </c>
      <c r="K11" s="7"/>
      <c r="L11" s="7"/>
      <c r="M11" s="8" t="str">
        <f aca="false">IF(OR(K11="",L11=""),"",IF(AND(K11="Y",L11="Y"),"Y","N"))</f>
        <v/>
      </c>
    </row>
    <row r="12" customFormat="false" ht="15" hidden="false" customHeight="false" outlineLevel="0" collapsed="false">
      <c r="A12" s="2" t="n">
        <v>8</v>
      </c>
      <c r="B12" s="2" t="s">
        <v>7</v>
      </c>
      <c r="C12" s="2" t="s">
        <v>64</v>
      </c>
      <c r="D12" s="2" t="n">
        <v>15</v>
      </c>
      <c r="E12" s="2" t="s">
        <v>73</v>
      </c>
      <c r="F12" s="6" t="b">
        <f aca="false">FALSE()</f>
        <v>0</v>
      </c>
      <c r="G12" s="2"/>
      <c r="H12" s="7"/>
      <c r="I12" s="7"/>
      <c r="J12" s="7" t="s">
        <v>75</v>
      </c>
      <c r="K12" s="7"/>
      <c r="L12" s="7"/>
      <c r="M12" s="8" t="str">
        <f aca="false">IF(OR(K12="",L12=""),"",IF(AND(K12="Y",L12="Y"),"Y","N"))</f>
        <v/>
      </c>
    </row>
    <row r="13" customFormat="false" ht="23.85" hidden="false" customHeight="false" outlineLevel="0" collapsed="false">
      <c r="A13" s="2" t="n">
        <v>9</v>
      </c>
      <c r="B13" s="2" t="s">
        <v>12</v>
      </c>
      <c r="C13" s="2" t="s">
        <v>69</v>
      </c>
      <c r="D13" s="2"/>
      <c r="E13" s="2" t="s">
        <v>76</v>
      </c>
      <c r="F13" s="6" t="b">
        <f aca="false">FALSE()</f>
        <v>0</v>
      </c>
      <c r="G13" s="2" t="s">
        <v>77</v>
      </c>
      <c r="H13" s="7"/>
      <c r="I13" s="7"/>
      <c r="J13" s="7" t="s">
        <v>75</v>
      </c>
      <c r="K13" s="7"/>
      <c r="L13" s="7"/>
      <c r="M13" s="8" t="str">
        <f aca="false">IF(OR(K13="",L13=""),"",IF(AND(K13="Y",L13="Y"),"Y","N"))</f>
        <v/>
      </c>
    </row>
    <row r="14" customFormat="false" ht="15" hidden="false" customHeight="false" outlineLevel="0" collapsed="false">
      <c r="A14" s="2" t="n">
        <v>10</v>
      </c>
      <c r="B14" s="2" t="s">
        <v>7</v>
      </c>
      <c r="C14" s="2" t="s">
        <v>58</v>
      </c>
      <c r="D14" s="2" t="n">
        <v>22000</v>
      </c>
      <c r="E14" s="2" t="s">
        <v>59</v>
      </c>
      <c r="F14" s="6" t="b">
        <f aca="false">FALSE()</f>
        <v>0</v>
      </c>
      <c r="G14" s="2" t="s">
        <v>78</v>
      </c>
      <c r="H14" s="7"/>
      <c r="I14" s="7"/>
      <c r="J14" s="7" t="s">
        <v>75</v>
      </c>
      <c r="K14" s="7"/>
      <c r="L14" s="7"/>
      <c r="M14" s="8" t="str">
        <f aca="false">IF(OR(K14="",L14=""),"",IF(AND(K14="Y",L14="Y"),"Y","N"))</f>
        <v/>
      </c>
    </row>
    <row r="15" customFormat="false" ht="15" hidden="false" customHeight="false" outlineLevel="0" collapsed="false">
      <c r="A15" s="2" t="n">
        <v>10</v>
      </c>
      <c r="B15" s="2" t="s">
        <v>7</v>
      </c>
      <c r="C15" s="2" t="s">
        <v>61</v>
      </c>
      <c r="D15" s="2" t="n">
        <v>3</v>
      </c>
      <c r="E15" s="2" t="s">
        <v>62</v>
      </c>
      <c r="F15" s="6" t="b">
        <f aca="false">FALSE()</f>
        <v>0</v>
      </c>
      <c r="G15" s="2"/>
      <c r="H15" s="7"/>
      <c r="I15" s="7"/>
      <c r="J15" s="7" t="s">
        <v>75</v>
      </c>
      <c r="K15" s="7"/>
      <c r="L15" s="7"/>
      <c r="M15" s="8" t="str">
        <f aca="false">IF(OR(K15="",L15=""),"",IF(AND(K15="Y",L15="Y"),"Y","N"))</f>
        <v/>
      </c>
    </row>
    <row r="16" customFormat="false" ht="15" hidden="false" customHeight="false" outlineLevel="0" collapsed="false">
      <c r="A16" s="2" t="n">
        <v>10</v>
      </c>
      <c r="B16" s="2" t="s">
        <v>7</v>
      </c>
      <c r="C16" s="2" t="s">
        <v>67</v>
      </c>
      <c r="D16" s="2" t="n">
        <v>11</v>
      </c>
      <c r="E16" s="2" t="s">
        <v>65</v>
      </c>
      <c r="F16" s="6" t="b">
        <f aca="false">FALSE()</f>
        <v>0</v>
      </c>
      <c r="G16" s="2"/>
      <c r="H16" s="7"/>
      <c r="I16" s="7"/>
      <c r="J16" s="7" t="s">
        <v>75</v>
      </c>
      <c r="K16" s="7"/>
      <c r="L16" s="7"/>
      <c r="M16" s="8" t="str">
        <f aca="false">IF(OR(K16="",L16=""),"",IF(AND(K16="Y",L16="Y"),"Y","N"))</f>
        <v/>
      </c>
    </row>
    <row r="17" customFormat="false" ht="15" hidden="false" customHeight="false" outlineLevel="0" collapsed="false">
      <c r="A17" s="2" t="n">
        <v>10</v>
      </c>
      <c r="B17" s="2" t="s">
        <v>7</v>
      </c>
      <c r="C17" s="2" t="s">
        <v>64</v>
      </c>
      <c r="D17" s="2" t="n">
        <v>2</v>
      </c>
      <c r="E17" s="2" t="s">
        <v>65</v>
      </c>
      <c r="F17" s="6" t="b">
        <f aca="false">FALSE()</f>
        <v>0</v>
      </c>
      <c r="G17" s="2"/>
      <c r="H17" s="7"/>
      <c r="I17" s="7"/>
      <c r="J17" s="7" t="s">
        <v>75</v>
      </c>
      <c r="K17" s="7"/>
      <c r="L17" s="7"/>
      <c r="M17" s="8" t="str">
        <f aca="false">IF(OR(K17="",L17=""),"",IF(AND(K17="Y",L17="Y"),"Y","N"))</f>
        <v/>
      </c>
    </row>
    <row r="18" customFormat="false" ht="15" hidden="false" customHeight="false" outlineLevel="0" collapsed="false">
      <c r="A18" s="2" t="s">
        <v>22</v>
      </c>
      <c r="B18" s="2" t="s">
        <v>23</v>
      </c>
      <c r="C18" s="2" t="s">
        <v>58</v>
      </c>
      <c r="D18" s="2" t="n">
        <v>20000</v>
      </c>
      <c r="E18" s="2" t="s">
        <v>59</v>
      </c>
      <c r="F18" s="6" t="b">
        <f aca="false">FALSE()</f>
        <v>0</v>
      </c>
      <c r="G18" s="2" t="s">
        <v>79</v>
      </c>
      <c r="H18" s="7"/>
      <c r="I18" s="7"/>
      <c r="J18" s="7" t="s">
        <v>60</v>
      </c>
      <c r="K18" s="7"/>
      <c r="L18" s="7"/>
      <c r="M18" s="8" t="str">
        <f aca="false">IF(OR(K18="",L18=""),"",IF(AND(K18="Y",L18="Y"),"Y","N"))</f>
        <v/>
      </c>
    </row>
    <row r="19" customFormat="false" ht="15" hidden="false" customHeight="false" outlineLevel="0" collapsed="false">
      <c r="A19" s="2" t="s">
        <v>27</v>
      </c>
      <c r="B19" s="2" t="s">
        <v>23</v>
      </c>
      <c r="C19" s="2" t="s">
        <v>61</v>
      </c>
      <c r="D19" s="2" t="n">
        <v>2</v>
      </c>
      <c r="E19" s="2" t="s">
        <v>62</v>
      </c>
      <c r="F19" s="6" t="b">
        <f aca="false">FALSE()</f>
        <v>0</v>
      </c>
      <c r="G19" s="2" t="s">
        <v>80</v>
      </c>
      <c r="H19" s="7"/>
      <c r="I19" s="7"/>
      <c r="J19" s="7" t="s">
        <v>60</v>
      </c>
      <c r="K19" s="7"/>
      <c r="L19" s="7"/>
      <c r="M19" s="8" t="str">
        <f aca="false">IF(OR(K19="",L19=""),"",IF(AND(K19="Y",L19="Y"),"Y","N"))</f>
        <v/>
      </c>
    </row>
    <row r="20" customFormat="false" ht="15" hidden="false" customHeight="false" outlineLevel="0" collapsed="false">
      <c r="A20" s="2" t="s">
        <v>30</v>
      </c>
      <c r="B20" s="2" t="s">
        <v>23</v>
      </c>
      <c r="C20" s="2" t="s">
        <v>67</v>
      </c>
      <c r="D20" s="2" t="n">
        <v>0</v>
      </c>
      <c r="E20" s="2" t="s">
        <v>65</v>
      </c>
      <c r="F20" s="6" t="b">
        <f aca="false">FALSE()</f>
        <v>0</v>
      </c>
      <c r="G20" s="2" t="s">
        <v>81</v>
      </c>
      <c r="H20" s="7"/>
      <c r="I20" s="7"/>
      <c r="J20" s="7" t="s">
        <v>60</v>
      </c>
      <c r="K20" s="7"/>
      <c r="L20" s="7"/>
      <c r="M20" s="8" t="str">
        <f aca="false">IF(OR(K20="",L20=""),"",IF(AND(K20="Y",L20="Y"),"Y","N"))</f>
        <v/>
      </c>
    </row>
    <row r="21" customFormat="false" ht="15" hidden="false" customHeight="false" outlineLevel="0" collapsed="false">
      <c r="A21" s="2" t="s">
        <v>33</v>
      </c>
      <c r="B21" s="2" t="s">
        <v>23</v>
      </c>
      <c r="C21" s="2" t="s">
        <v>69</v>
      </c>
      <c r="D21" s="2" t="n">
        <v>1500</v>
      </c>
      <c r="E21" s="2" t="s">
        <v>59</v>
      </c>
      <c r="F21" s="6" t="b">
        <f aca="false">TRUE()</f>
        <v>1</v>
      </c>
      <c r="G21" s="2" t="s">
        <v>82</v>
      </c>
      <c r="H21" s="7"/>
      <c r="I21" s="7"/>
      <c r="J21" s="7" t="s">
        <v>60</v>
      </c>
      <c r="K21" s="7"/>
      <c r="L21" s="7"/>
      <c r="M21" s="8" t="str">
        <f aca="false">IF(OR(K21="",L21=""),"",IF(AND(K21="Y",L21="Y"),"Y","N"))</f>
        <v/>
      </c>
    </row>
    <row r="22" customFormat="false" ht="15" hidden="false" customHeight="false" outlineLevel="0" collapsed="false">
      <c r="A22" s="2" t="s">
        <v>36</v>
      </c>
      <c r="B22" s="2" t="s">
        <v>23</v>
      </c>
      <c r="C22" s="2" t="s">
        <v>58</v>
      </c>
      <c r="D22" s="2" t="n">
        <v>18000</v>
      </c>
      <c r="E22" s="2" t="s">
        <v>59</v>
      </c>
      <c r="F22" s="6" t="b">
        <f aca="false">FALSE()</f>
        <v>0</v>
      </c>
      <c r="G22" s="2" t="s">
        <v>83</v>
      </c>
      <c r="H22" s="7"/>
      <c r="I22" s="7"/>
      <c r="J22" s="7" t="s">
        <v>60</v>
      </c>
      <c r="K22" s="7"/>
      <c r="L22" s="7"/>
      <c r="M22" s="8" t="str">
        <f aca="false">IF(OR(K22="",L22=""),"",IF(AND(K22="Y",L22="Y"),"Y","N"))</f>
        <v/>
      </c>
    </row>
    <row r="23" customFormat="false" ht="15" hidden="false" customHeight="false" outlineLevel="0" collapsed="false">
      <c r="A23" s="2" t="s">
        <v>36</v>
      </c>
      <c r="B23" s="2" t="s">
        <v>23</v>
      </c>
      <c r="C23" s="2" t="s">
        <v>61</v>
      </c>
      <c r="D23" s="2" t="n">
        <v>40000</v>
      </c>
      <c r="E23" s="2" t="s">
        <v>59</v>
      </c>
      <c r="F23" s="6" t="b">
        <f aca="false">FALSE()</f>
        <v>0</v>
      </c>
      <c r="G23" s="2"/>
      <c r="H23" s="7"/>
      <c r="I23" s="7"/>
      <c r="J23" s="7" t="s">
        <v>60</v>
      </c>
      <c r="K23" s="7"/>
      <c r="L23" s="7"/>
      <c r="M23" s="8" t="str">
        <f aca="false">IF(OR(K23="",L23=""),"",IF(AND(K23="Y",L23="Y"),"Y","N"))</f>
        <v/>
      </c>
    </row>
    <row r="24" customFormat="false" ht="15" hidden="false" customHeight="false" outlineLevel="0" collapsed="false">
      <c r="A24" s="2" t="s">
        <v>36</v>
      </c>
      <c r="B24" s="2" t="s">
        <v>23</v>
      </c>
      <c r="C24" s="2" t="s">
        <v>72</v>
      </c>
      <c r="D24" s="2" t="n">
        <v>30</v>
      </c>
      <c r="E24" s="2" t="s">
        <v>73</v>
      </c>
      <c r="F24" s="6" t="b">
        <f aca="false">FALSE()</f>
        <v>0</v>
      </c>
      <c r="G24" s="2"/>
      <c r="H24" s="7"/>
      <c r="I24" s="7"/>
      <c r="J24" s="7" t="s">
        <v>60</v>
      </c>
      <c r="K24" s="7"/>
      <c r="L24" s="7"/>
      <c r="M24" s="8" t="str">
        <f aca="false">IF(OR(K24="",L24=""),"",IF(AND(K24="Y",L24="Y"),"Y","N"))</f>
        <v/>
      </c>
    </row>
    <row r="25" customFormat="false" ht="15" hidden="false" customHeight="false" outlineLevel="0" collapsed="false">
      <c r="A25" s="2" t="s">
        <v>39</v>
      </c>
      <c r="B25" s="2" t="s">
        <v>23</v>
      </c>
      <c r="C25" s="2" t="s">
        <v>64</v>
      </c>
      <c r="D25" s="2" t="n">
        <v>15</v>
      </c>
      <c r="E25" s="2" t="s">
        <v>73</v>
      </c>
      <c r="F25" s="6" t="b">
        <f aca="false">FALSE()</f>
        <v>0</v>
      </c>
      <c r="G25" s="2" t="s">
        <v>84</v>
      </c>
      <c r="H25" s="7"/>
      <c r="I25" s="7"/>
      <c r="J25" s="7" t="s">
        <v>75</v>
      </c>
      <c r="K25" s="7"/>
      <c r="L25" s="7"/>
      <c r="M25" s="8" t="str">
        <f aca="false">IF(OR(K25="",L25=""),"",IF(AND(K25="Y",L25="Y"),"Y","N"))</f>
        <v/>
      </c>
    </row>
    <row r="27" customFormat="false" ht="15" hidden="false" customHeight="false" outlineLevel="0" collapsed="false">
      <c r="A27" s="5" t="s">
        <v>85</v>
      </c>
    </row>
    <row r="28" customFormat="false" ht="15" hidden="false" customHeight="false" outlineLevel="0" collapsed="false">
      <c r="A28" s="5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2"/>
  </cols>
  <sheetData>
    <row r="1" customFormat="false" ht="15" hidden="false" customHeight="false" outlineLevel="0" collapsed="false">
      <c r="A1" s="9" t="s">
        <v>87</v>
      </c>
    </row>
    <row r="3" customFormat="false" ht="15" hidden="false" customHeight="false" outlineLevel="0" collapsed="false">
      <c r="A3" s="1" t="s">
        <v>88</v>
      </c>
      <c r="B3" s="1" t="s">
        <v>89</v>
      </c>
    </row>
    <row r="4" customFormat="false" ht="15" hidden="false" customHeight="false" outlineLevel="0" collapsed="false">
      <c r="A4" s="8" t="s">
        <v>90</v>
      </c>
      <c r="B4" s="10" t="n">
        <f aca="false">COUNTA('Answer Key'!$A$2:$A$25)</f>
        <v>24</v>
      </c>
    </row>
    <row r="5" customFormat="false" ht="15" hidden="false" customHeight="false" outlineLevel="0" collapsed="false">
      <c r="A5" s="8" t="s">
        <v>91</v>
      </c>
      <c r="B5" s="10" t="n">
        <f aca="false">COUNTIF('Answer Key'!$M$2:$M$25,"Y")+COUNTIF('Answer Key'!$M$2:$M$25,"N")</f>
        <v>0</v>
      </c>
    </row>
    <row r="6" customFormat="false" ht="15" hidden="false" customHeight="false" outlineLevel="0" collapsed="false">
      <c r="A6" s="8" t="s">
        <v>92</v>
      </c>
      <c r="B6" s="10" t="n">
        <f aca="false">COUNTIF('Answer Key'!$M$2:$M$25,"Y")</f>
        <v>0</v>
      </c>
    </row>
    <row r="7" customFormat="false" ht="15" hidden="false" customHeight="false" outlineLevel="0" collapsed="false">
      <c r="A7" s="8" t="s">
        <v>93</v>
      </c>
      <c r="B7" s="11" t="str">
        <f aca="false">IF((B5)=0,"",(B6)/(B5))</f>
        <v/>
      </c>
    </row>
    <row r="8" customFormat="false" ht="15" hidden="false" customHeight="false" outlineLevel="0" collapsed="false">
      <c r="A8" s="8" t="s">
        <v>94</v>
      </c>
      <c r="B8" s="11" t="str">
        <f aca="false">IF((COUNTIF('Answer Key'!$K$2:$K$25,"Y")+COUNTIF('Answer Key'!$K$2:$K$25,"N"))=0,"",(COUNTIF('Answer Key'!$K$2:$K$25,"Y"))/(COUNTIF('Answer Key'!$K$2:$K$25,"Y")+COUNTIF('Answer Key'!$K$2:$K$25,"N")))</f>
        <v/>
      </c>
    </row>
    <row r="9" customFormat="false" ht="15" hidden="false" customHeight="false" outlineLevel="0" collapsed="false">
      <c r="A9" s="8" t="s">
        <v>95</v>
      </c>
      <c r="B9" s="11" t="str">
        <f aca="false">IF((COUNTIF('Answer Key'!$L$2:$L$25,"Y")+COUNTIF('Answer Key'!$L$2:$L$25,"N"))=0,"",(COUNTIF('Answer Key'!$L$2:$L$25,"Y"))/(COUNTIF('Answer Key'!$L$2:$L$25,"Y")+COUNTIF('Answer Key'!$L$2:$L$25,"N")))</f>
        <v/>
      </c>
    </row>
    <row r="10" customFormat="false" ht="15" hidden="false" customHeight="false" outlineLevel="0" collapsed="false">
      <c r="A10" s="8" t="s">
        <v>96</v>
      </c>
      <c r="B10" s="11" t="str">
        <f aca="false">IF((COUNTIFS('Answer Key'!$J$2:$J$25,"Y",'Answer Key'!$M$2:$M$25,"Y")+COUNTIFS('Answer Key'!$J$2:$J$25,"Y",'Answer Key'!$M$2:$M$25,"N"))=0,"",(COUNTIFS('Answer Key'!$J$2:$J$25,"Y",'Answer Key'!$M$2:$M$25,"Y"))/(COUNTIFS('Answer Key'!$J$2:$J$25,"Y",'Answer Key'!$M$2:$M$25,"Y")+COUNTIFS('Answer Key'!$J$2:$J$25,"Y",'Answer Key'!$M$2:$M$25,"N")))</f>
        <v/>
      </c>
    </row>
    <row r="11" customFormat="false" ht="15" hidden="false" customHeight="false" outlineLevel="0" collapsed="false">
      <c r="A11" s="8" t="s">
        <v>97</v>
      </c>
      <c r="B11" s="11" t="str">
        <f aca="false">IF((COUNTIFS('Answer Key'!$J$2:$J$25,"N",'Answer Key'!$M$2:$M$25,"Y")+COUNTIFS('Answer Key'!$J$2:$J$25,"N",'Answer Key'!$M$2:$M$25,"N"))=0,"",(COUNTIFS('Answer Key'!$J$2:$J$25,"N",'Answer Key'!$M$2:$M$25,"Y"))/(COUNTIFS('Answer Key'!$J$2:$J$25,"N",'Answer Key'!$M$2:$M$25,"Y")+COUNTIFS('Answer Key'!$J$2:$J$25,"N",'Answer Key'!$M$2:$M$25,"N")))</f>
        <v/>
      </c>
    </row>
    <row r="14" customFormat="false" ht="15" hidden="false" customHeight="false" outlineLevel="0" collapsed="false">
      <c r="A14" s="4" t="s">
        <v>98</v>
      </c>
    </row>
    <row r="15" customFormat="false" ht="15" hidden="false" customHeight="false" outlineLevel="0" collapsed="false">
      <c r="A15" s="12" t="s">
        <v>99</v>
      </c>
      <c r="B15" s="12" t="s">
        <v>100</v>
      </c>
      <c r="C15" s="12" t="s">
        <v>101</v>
      </c>
      <c r="D15" s="12" t="s">
        <v>102</v>
      </c>
      <c r="E15" s="12" t="s">
        <v>103</v>
      </c>
    </row>
    <row r="16" customFormat="false" ht="15" hidden="false" customHeight="false" outlineLevel="0" collapsed="false">
      <c r="A16" s="8" t="s">
        <v>7</v>
      </c>
      <c r="B16" s="8" t="n">
        <f aca="false">COUNTIF('Answer Key'!$B$2:$B$25,A16)</f>
        <v>12</v>
      </c>
      <c r="C16" s="8" t="n">
        <f aca="false">COUNTIFS('Answer Key'!$B$2:$B$25,A16,'Answer Key'!$M$2:$M$25,"Y")+COUNTIFS('Answer Key'!$B$2:$B$25,A16,'Answer Key'!$M$2:$M$25,"N")</f>
        <v>0</v>
      </c>
      <c r="D16" s="8" t="n">
        <f aca="false">COUNTIFS('Answer Key'!$B$2:$B$25,A16,'Answer Key'!$M$2:$M$25,"Y")</f>
        <v>0</v>
      </c>
      <c r="E16" s="11" t="str">
        <f aca="false">IF(C16=0,"",D16/C16)</f>
        <v/>
      </c>
    </row>
    <row r="17" customFormat="false" ht="15" hidden="false" customHeight="false" outlineLevel="0" collapsed="false">
      <c r="A17" s="8" t="s">
        <v>12</v>
      </c>
      <c r="B17" s="8" t="n">
        <f aca="false">COUNTIF('Answer Key'!$B$2:$B$25,A17)</f>
        <v>4</v>
      </c>
      <c r="C17" s="8" t="n">
        <f aca="false">COUNTIFS('Answer Key'!$B$2:$B$25,A17,'Answer Key'!$M$2:$M$25,"Y")+COUNTIFS('Answer Key'!$B$2:$B$25,A17,'Answer Key'!$M$2:$M$25,"N")</f>
        <v>0</v>
      </c>
      <c r="D17" s="8" t="n">
        <f aca="false">COUNTIFS('Answer Key'!$B$2:$B$25,A17,'Answer Key'!$M$2:$M$25,"Y")</f>
        <v>0</v>
      </c>
      <c r="E17" s="11" t="str">
        <f aca="false">IF(C17=0,"",D17/C17)</f>
        <v/>
      </c>
    </row>
    <row r="18" customFormat="false" ht="15" hidden="false" customHeight="false" outlineLevel="0" collapsed="false">
      <c r="A18" s="8" t="s">
        <v>23</v>
      </c>
      <c r="B18" s="8" t="n">
        <f aca="false">COUNTIF('Answer Key'!$B$2:$B$25,A18)</f>
        <v>8</v>
      </c>
      <c r="C18" s="8" t="n">
        <f aca="false">COUNTIFS('Answer Key'!$B$2:$B$25,A18,'Answer Key'!$M$2:$M$25,"Y")+COUNTIFS('Answer Key'!$B$2:$B$25,A18,'Answer Key'!$M$2:$M$25,"N")</f>
        <v>0</v>
      </c>
      <c r="D18" s="8" t="n">
        <f aca="false">COUNTIFS('Answer Key'!$B$2:$B$25,A18,'Answer Key'!$M$2:$M$25,"Y")</f>
        <v>0</v>
      </c>
      <c r="E18" s="11" t="str">
        <f aca="false">IF(C18=0,"",D18/C18)</f>
        <v/>
      </c>
    </row>
    <row r="21" customFormat="false" ht="15" hidden="false" customHeight="false" outlineLevel="0" collapsed="false">
      <c r="A21" s="4" t="s">
        <v>104</v>
      </c>
    </row>
    <row r="22" customFormat="false" ht="15" hidden="false" customHeight="false" outlineLevel="0" collapsed="false">
      <c r="A22" s="5" t="s">
        <v>105</v>
      </c>
    </row>
    <row r="23" customFormat="false" ht="15" hidden="false" customHeight="false" outlineLevel="0" collapsed="false">
      <c r="A23" s="5" t="s">
        <v>106</v>
      </c>
    </row>
    <row r="24" customFormat="false" ht="15" hidden="false" customHeight="false" outlineLevel="0" collapsed="false">
      <c r="A24" s="5" t="s">
        <v>107</v>
      </c>
    </row>
    <row r="25" customFormat="false" ht="15" hidden="false" customHeight="false" outlineLevel="0" collapsed="false">
      <c r="A25" s="5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2026-10-04T09:09:19Z</dcterms:created>
  <dc:creator>openpyxl</dc:creator>
  <dc:description/>
  <dc:language>en-US</dc:language>
  <cp:lastModifiedBy/>
  <dcterms:modified xsi:type="dcterms:W3CDTF">2026-10-04T09:09:19Z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